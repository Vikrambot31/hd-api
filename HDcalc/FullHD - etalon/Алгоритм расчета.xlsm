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HP\Desktop\Приложение по ДЧ\"/>
    </mc:Choice>
  </mc:AlternateContent>
  <bookViews>
    <workbookView xWindow="0" yWindow="2304" windowWidth="20160" windowHeight="9036"/>
  </bookViews>
  <sheets>
    <sheet name="Лист1 (2)" sheetId="2" r:id="rId1"/>
    <sheet name="Лист1" sheetId="1" r:id="rId2"/>
  </sheets>
  <externalReferences>
    <externalReference r:id="rId3"/>
    <externalReference r:id="rId4"/>
  </externalReferences>
  <definedNames>
    <definedName name="Авторитет">[1]!Таблица11[Авторитет]</definedName>
    <definedName name="НазваниеЦентра">[1]!Таблица6[[#All],[НАЗВАНИЕ ЦЕНТРА]]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2" l="1"/>
  <c r="F6" i="2"/>
  <c r="F5" i="2"/>
  <c r="M5" i="2" l="1"/>
  <c r="N5" i="2"/>
  <c r="E33" i="2"/>
  <c r="H2" i="2"/>
  <c r="F11" i="2"/>
  <c r="F14" i="2"/>
  <c r="F13" i="2"/>
  <c r="F16" i="2"/>
  <c r="E32" i="2"/>
  <c r="F7" i="2"/>
  <c r="F15" i="2"/>
  <c r="F10" i="2"/>
  <c r="F17" i="2"/>
  <c r="F9" i="2"/>
  <c r="H3" i="2"/>
  <c r="F12" i="2"/>
  <c r="F21" i="2"/>
  <c r="F23" i="2"/>
  <c r="F26" i="2"/>
  <c r="F20" i="2"/>
  <c r="F28" i="2"/>
  <c r="F19" i="2"/>
  <c r="F25" i="2"/>
  <c r="F27" i="2"/>
  <c r="F24" i="2"/>
  <c r="F22" i="2"/>
  <c r="F30" i="2"/>
  <c r="F29" i="2"/>
  <c r="F18" i="2"/>
  <c r="B19" i="2" l="1"/>
  <c r="C19" i="2"/>
  <c r="B5" i="2"/>
  <c r="H18" i="2"/>
  <c r="J18" i="2" s="1"/>
  <c r="I18" i="2"/>
  <c r="G18" i="2"/>
  <c r="H20" i="2"/>
  <c r="J20" i="2" s="1"/>
  <c r="G20" i="2"/>
  <c r="I20" i="2"/>
  <c r="H22" i="2"/>
  <c r="J22" i="2" s="1"/>
  <c r="I22" i="2"/>
  <c r="G22" i="2"/>
  <c r="H24" i="2"/>
  <c r="J24" i="2" s="1"/>
  <c r="G24" i="2"/>
  <c r="I24" i="2"/>
  <c r="H26" i="2"/>
  <c r="J26" i="2" s="1"/>
  <c r="I26" i="2"/>
  <c r="G26" i="2"/>
  <c r="H28" i="2"/>
  <c r="J28" i="2" s="1"/>
  <c r="G28" i="2"/>
  <c r="I28" i="2"/>
  <c r="H30" i="2"/>
  <c r="J30" i="2" s="1"/>
  <c r="I30" i="2"/>
  <c r="G30" i="2"/>
  <c r="G27" i="2"/>
  <c r="I27" i="2"/>
  <c r="H27" i="2"/>
  <c r="J27" i="2" s="1"/>
  <c r="G23" i="2"/>
  <c r="I23" i="2"/>
  <c r="H23" i="2"/>
  <c r="J23" i="2" s="1"/>
  <c r="G19" i="2"/>
  <c r="I19" i="2"/>
  <c r="H19" i="2"/>
  <c r="J19" i="2" s="1"/>
  <c r="G29" i="2"/>
  <c r="I29" i="2"/>
  <c r="H29" i="2"/>
  <c r="J29" i="2" s="1"/>
  <c r="G25" i="2"/>
  <c r="I25" i="2"/>
  <c r="H25" i="2"/>
  <c r="J25" i="2" s="1"/>
  <c r="G21" i="2"/>
  <c r="I21" i="2"/>
  <c r="H21" i="2"/>
  <c r="J21" i="2" s="1"/>
  <c r="G17" i="2"/>
  <c r="I17" i="2"/>
  <c r="H17" i="2"/>
  <c r="J17" i="2" s="1"/>
  <c r="G16" i="2"/>
  <c r="I16" i="2"/>
  <c r="H16" i="2"/>
  <c r="J16" i="2" s="1"/>
  <c r="G14" i="2"/>
  <c r="I14" i="2"/>
  <c r="H14" i="2"/>
  <c r="J14" i="2" s="1"/>
  <c r="G12" i="2"/>
  <c r="I12" i="2"/>
  <c r="H12" i="2"/>
  <c r="J12" i="2" s="1"/>
  <c r="G10" i="2"/>
  <c r="I10" i="2"/>
  <c r="H10" i="2"/>
  <c r="J10" i="2" s="1"/>
  <c r="G8" i="2"/>
  <c r="I8" i="2"/>
  <c r="H8" i="2"/>
  <c r="J8" i="2" s="1"/>
  <c r="G6" i="2"/>
  <c r="I6" i="2"/>
  <c r="H6" i="2"/>
  <c r="J6" i="2" s="1"/>
  <c r="H15" i="2"/>
  <c r="J15" i="2" s="1"/>
  <c r="G15" i="2"/>
  <c r="I15" i="2"/>
  <c r="H13" i="2"/>
  <c r="J13" i="2" s="1"/>
  <c r="G13" i="2"/>
  <c r="I13" i="2"/>
  <c r="H11" i="2"/>
  <c r="J11" i="2" s="1"/>
  <c r="G11" i="2"/>
  <c r="I11" i="2"/>
  <c r="H9" i="2"/>
  <c r="J9" i="2" s="1"/>
  <c r="G9" i="2"/>
  <c r="I9" i="2"/>
  <c r="H7" i="2"/>
  <c r="J7" i="2" s="1"/>
  <c r="G7" i="2"/>
  <c r="I7" i="2"/>
  <c r="H5" i="2"/>
  <c r="J5" i="2" s="1"/>
  <c r="G5" i="2"/>
  <c r="I5" i="2"/>
</calcChain>
</file>

<file path=xl/sharedStrings.xml><?xml version="1.0" encoding="utf-8"?>
<sst xmlns="http://schemas.openxmlformats.org/spreadsheetml/2006/main" count="35" uniqueCount="22">
  <si>
    <t>Плутон</t>
  </si>
  <si>
    <t>Нептун</t>
  </si>
  <si>
    <t>Уран</t>
  </si>
  <si>
    <t>Сатурн</t>
  </si>
  <si>
    <t>Юпитер</t>
  </si>
  <si>
    <t>Марс</t>
  </si>
  <si>
    <t>Венера</t>
  </si>
  <si>
    <t>Меркурий</t>
  </si>
  <si>
    <t>Юж. Лунный узел</t>
  </si>
  <si>
    <t>Сев. Лунный узел</t>
  </si>
  <si>
    <t>Луна</t>
  </si>
  <si>
    <t>Земля</t>
  </si>
  <si>
    <t>Солнце</t>
  </si>
  <si>
    <t>Широта</t>
  </si>
  <si>
    <t>Долгота</t>
  </si>
  <si>
    <t>Юлианская</t>
  </si>
  <si>
    <t>Секунда</t>
  </si>
  <si>
    <t>Минута</t>
  </si>
  <si>
    <t>Час</t>
  </si>
  <si>
    <t>Год</t>
  </si>
  <si>
    <t>Месяц</t>
  </si>
  <si>
    <t>День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</si>
</sst>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hh]:mm:ss"/>
    <numFmt numFmtId="165" formatCode="#,##0.000"/>
    <numFmt numFmtId="166" formatCode="#,##0.0000"/>
    <numFmt numFmtId="167" formatCode="[$-F400]h:mm:ss\ AM/PM"/>
    <numFmt numFmtId="168" formatCode="0.000"/>
    <numFmt numFmtId="169" formatCode="dd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64" fontId="0" fillId="2" borderId="0" xfId="0" applyNumberFormat="1" applyFill="1"/>
    <xf numFmtId="4" fontId="0" fillId="2" borderId="0" xfId="0" applyNumberFormat="1" applyFill="1"/>
    <xf numFmtId="165" fontId="0" fillId="2" borderId="0" xfId="0" applyNumberFormat="1" applyFill="1"/>
    <xf numFmtId="0" fontId="1" fillId="3" borderId="0" xfId="0" applyFont="1" applyFill="1"/>
    <xf numFmtId="165" fontId="0" fillId="0" borderId="0" xfId="0" applyNumberFormat="1"/>
    <xf numFmtId="164" fontId="0" fillId="4" borderId="0" xfId="0" applyNumberFormat="1" applyFill="1"/>
    <xf numFmtId="4" fontId="0" fillId="4" borderId="0" xfId="0" applyNumberFormat="1" applyFill="1"/>
    <xf numFmtId="165" fontId="0" fillId="4" borderId="0" xfId="0" applyNumberFormat="1" applyFill="1"/>
    <xf numFmtId="0" fontId="1" fillId="5" borderId="0" xfId="0" applyFont="1" applyFill="1"/>
    <xf numFmtId="164" fontId="0" fillId="0" borderId="0" xfId="0" applyNumberFormat="1"/>
    <xf numFmtId="20" fontId="0" fillId="0" borderId="0" xfId="0" applyNumberFormat="1"/>
    <xf numFmtId="166" fontId="0" fillId="4" borderId="0" xfId="0" applyNumberFormat="1" applyFill="1"/>
    <xf numFmtId="22" fontId="0" fillId="0" borderId="0" xfId="0" applyNumberFormat="1"/>
    <xf numFmtId="167" fontId="0" fillId="0" borderId="0" xfId="0" applyNumberFormat="1"/>
    <xf numFmtId="1" fontId="0" fillId="0" borderId="0" xfId="0" applyNumberFormat="1"/>
    <xf numFmtId="14" fontId="0" fillId="0" borderId="0" xfId="0" applyNumberFormat="1"/>
    <xf numFmtId="3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44;&#1080;&#1079;&#1072;&#1081;&#1085;%20&#1063;&#1077;&#1083;&#1086;&#1074;&#1077;&#1082;&#1072;\HD\Human%20Desig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weRu/SweRu/SweRuXLA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Ввод"/>
      <sheetName val="Центры"/>
      <sheetName val="Типы"/>
      <sheetName val="Профили"/>
      <sheetName val="Ворота"/>
      <sheetName val="Ворота (2)"/>
      <sheetName val="Ворота (3)"/>
      <sheetName val="Каналы"/>
      <sheetName val="Кресты"/>
      <sheetName val="Инстинкты"/>
      <sheetName val="Сознание"/>
      <sheetName val="Сравнение"/>
      <sheetName val="База Людей"/>
      <sheetName val="Списки"/>
      <sheetName val="Human Design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definedNames>
      <definedName name="jday"/>
      <definedName name="Plc"/>
      <definedName name="swe_calc_ut"/>
      <definedName name="swe_julday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O33"/>
  <sheetViews>
    <sheetView tabSelected="1" zoomScaleNormal="100" workbookViewId="0">
      <selection activeCell="L8" sqref="L8"/>
    </sheetView>
  </sheetViews>
  <sheetFormatPr defaultRowHeight="14.4" x14ac:dyDescent="0.3"/>
  <cols>
    <col min="1" max="1" width="16.5546875" customWidth="1"/>
    <col min="5" max="5" width="15.88671875" customWidth="1"/>
    <col min="6" max="6" width="12.33203125" customWidth="1"/>
    <col min="7" max="7" width="14.5546875" customWidth="1"/>
    <col min="8" max="8" width="24.77734375" customWidth="1"/>
    <col min="13" max="13" width="17.88671875" bestFit="1" customWidth="1"/>
    <col min="14" max="14" width="15.21875" bestFit="1" customWidth="1"/>
    <col min="15" max="15" width="18.21875" customWidth="1"/>
  </cols>
  <sheetData>
    <row r="1" spans="1:15" x14ac:dyDescent="0.3">
      <c r="A1" s="22" t="s">
        <v>21</v>
      </c>
      <c r="B1" s="22" t="s">
        <v>20</v>
      </c>
      <c r="C1" s="22" t="s">
        <v>19</v>
      </c>
      <c r="D1" s="21" t="s">
        <v>18</v>
      </c>
      <c r="E1" s="21" t="s">
        <v>17</v>
      </c>
      <c r="F1" s="21" t="s">
        <v>16</v>
      </c>
      <c r="H1" s="21" t="s">
        <v>15</v>
      </c>
      <c r="J1" s="20" t="s">
        <v>14</v>
      </c>
      <c r="K1" s="20" t="s">
        <v>13</v>
      </c>
    </row>
    <row r="2" spans="1:15" x14ac:dyDescent="0.3">
      <c r="A2" s="19">
        <v>10</v>
      </c>
      <c r="B2" s="17">
        <v>6</v>
      </c>
      <c r="C2" s="17">
        <v>1986</v>
      </c>
      <c r="D2" s="17">
        <v>15</v>
      </c>
      <c r="E2" s="17">
        <v>30</v>
      </c>
      <c r="F2" s="17">
        <v>0</v>
      </c>
      <c r="H2" s="18">
        <f>[2]!jday(C2,B2,A2,D2,E2,F2)</f>
        <v>2446592.1458333335</v>
      </c>
      <c r="J2">
        <v>39.17</v>
      </c>
      <c r="K2">
        <v>51.67</v>
      </c>
    </row>
    <row r="3" spans="1:15" x14ac:dyDescent="0.3">
      <c r="A3" s="17">
        <v>12</v>
      </c>
      <c r="B3" s="17">
        <v>3</v>
      </c>
      <c r="C3" s="17">
        <v>1986</v>
      </c>
      <c r="D3" s="17">
        <v>8</v>
      </c>
      <c r="E3" s="17">
        <v>7</v>
      </c>
      <c r="F3" s="17">
        <v>52</v>
      </c>
      <c r="H3">
        <f>[2]!jday(C3,B3,A3,D3,E3,F3)</f>
        <v>2446501.8387962962</v>
      </c>
      <c r="J3">
        <v>39.17</v>
      </c>
      <c r="K3">
        <v>51.67</v>
      </c>
      <c r="M3" s="16">
        <v>30645</v>
      </c>
      <c r="N3" s="14">
        <v>0.30555555555555552</v>
      </c>
    </row>
    <row r="4" spans="1:15" x14ac:dyDescent="0.3">
      <c r="M4" s="16">
        <v>30556</v>
      </c>
      <c r="N4" s="14">
        <v>0.32138888888888889</v>
      </c>
    </row>
    <row r="5" spans="1:15" x14ac:dyDescent="0.3">
      <c r="B5" s="5">
        <f>F6-F5</f>
        <v>180</v>
      </c>
      <c r="C5" s="8"/>
      <c r="E5" s="9" t="s">
        <v>12</v>
      </c>
      <c r="F5" s="8">
        <f>[2]!Plc(H2,0,K2,J2)</f>
        <v>79.455987596463572</v>
      </c>
      <c r="G5" s="6">
        <f t="shared" ref="G5:G30" si="0">F5/24</f>
        <v>3.3106661498526488</v>
      </c>
      <c r="H5" s="12">
        <f t="shared" ref="H5:H30" si="1">MOD(F5,30)</f>
        <v>19.455987596463572</v>
      </c>
      <c r="I5" s="7">
        <f t="shared" ref="I5:I30" si="2">ROUNDUP(F5/30,0)</f>
        <v>3</v>
      </c>
      <c r="J5" s="6">
        <f t="shared" ref="J5:J30" si="3">H5/24</f>
        <v>0.81066614985264884</v>
      </c>
      <c r="M5" s="15">
        <f>_xlfn.DAYS(M3,M4)</f>
        <v>89</v>
      </c>
      <c r="N5" s="14">
        <f>N3-N4</f>
        <v>-1.5833333333333366E-2</v>
      </c>
      <c r="O5" s="13"/>
    </row>
    <row r="6" spans="1:15" x14ac:dyDescent="0.3">
      <c r="E6" s="9" t="s">
        <v>11</v>
      </c>
      <c r="F6" s="8">
        <f>[2]!Plc(H2,0,K2,J2)+180</f>
        <v>259.45598759646356</v>
      </c>
      <c r="G6" s="6">
        <f t="shared" si="0"/>
        <v>10.810666149852649</v>
      </c>
      <c r="H6" s="12">
        <f t="shared" si="1"/>
        <v>19.455987596463558</v>
      </c>
      <c r="I6" s="7">
        <f t="shared" si="2"/>
        <v>9</v>
      </c>
      <c r="J6" s="6">
        <f t="shared" si="3"/>
        <v>0.81066614985264829</v>
      </c>
      <c r="N6" s="11"/>
      <c r="O6" s="11"/>
    </row>
    <row r="7" spans="1:15" x14ac:dyDescent="0.3">
      <c r="E7" s="9" t="s">
        <v>10</v>
      </c>
      <c r="F7" s="8">
        <f>[2]!Plc(H2,1,K2,J2)</f>
        <v>113.08441605805689</v>
      </c>
      <c r="G7" s="6">
        <f t="shared" si="0"/>
        <v>4.7118506690857034</v>
      </c>
      <c r="H7" s="8">
        <f t="shared" si="1"/>
        <v>23.084416058056888</v>
      </c>
      <c r="I7" s="7">
        <f t="shared" si="2"/>
        <v>4</v>
      </c>
      <c r="J7" s="6">
        <f t="shared" si="3"/>
        <v>0.96185066908570371</v>
      </c>
    </row>
    <row r="8" spans="1:15" x14ac:dyDescent="0.3">
      <c r="B8" s="5"/>
      <c r="E8" s="9" t="s">
        <v>9</v>
      </c>
      <c r="F8" s="8">
        <f>[2]!Plc(H2,11,K2,J2)</f>
        <v>28.654222034080799</v>
      </c>
      <c r="G8" s="6">
        <f t="shared" si="0"/>
        <v>1.1939259180866999</v>
      </c>
      <c r="H8" s="8">
        <f t="shared" si="1"/>
        <v>28.654222034080799</v>
      </c>
      <c r="I8" s="7">
        <f t="shared" si="2"/>
        <v>1</v>
      </c>
      <c r="J8" s="6">
        <f t="shared" si="3"/>
        <v>1.1939259180866999</v>
      </c>
    </row>
    <row r="9" spans="1:15" x14ac:dyDescent="0.3">
      <c r="E9" s="9" t="s">
        <v>8</v>
      </c>
      <c r="F9" s="8">
        <f>[2]!Plc(H2,11,K2,J2)+180</f>
        <v>208.65422203408079</v>
      </c>
      <c r="G9" s="6">
        <f t="shared" si="0"/>
        <v>8.6939259180867001</v>
      </c>
      <c r="H9" s="8">
        <f t="shared" si="1"/>
        <v>28.654222034080789</v>
      </c>
      <c r="I9" s="7">
        <f t="shared" si="2"/>
        <v>7</v>
      </c>
      <c r="J9" s="6">
        <f t="shared" si="3"/>
        <v>1.1939259180866995</v>
      </c>
    </row>
    <row r="10" spans="1:15" x14ac:dyDescent="0.3">
      <c r="E10" s="9" t="s">
        <v>7</v>
      </c>
      <c r="F10" s="8">
        <f>[2]!Plc(H2,2,K2,J2)</f>
        <v>99.046790614817937</v>
      </c>
      <c r="G10" s="6">
        <f t="shared" si="0"/>
        <v>4.1269496089507474</v>
      </c>
      <c r="H10" s="8">
        <f t="shared" si="1"/>
        <v>9.0467906148179367</v>
      </c>
      <c r="I10" s="7">
        <f t="shared" si="2"/>
        <v>4</v>
      </c>
      <c r="J10" s="6">
        <f t="shared" si="3"/>
        <v>0.37694960895074736</v>
      </c>
      <c r="K10" s="10"/>
    </row>
    <row r="11" spans="1:15" x14ac:dyDescent="0.3">
      <c r="E11" s="9" t="s">
        <v>6</v>
      </c>
      <c r="F11" s="8">
        <f>[2]!Plc(H2,3,K2,J2)</f>
        <v>113.9352731455614</v>
      </c>
      <c r="G11" s="6">
        <f t="shared" si="0"/>
        <v>4.7473030477317248</v>
      </c>
      <c r="H11" s="8">
        <f t="shared" si="1"/>
        <v>23.935273145561396</v>
      </c>
      <c r="I11" s="7">
        <f t="shared" si="2"/>
        <v>4</v>
      </c>
      <c r="J11" s="6">
        <f t="shared" si="3"/>
        <v>0.99730304773172485</v>
      </c>
    </row>
    <row r="12" spans="1:15" x14ac:dyDescent="0.3">
      <c r="E12" s="9" t="s">
        <v>5</v>
      </c>
      <c r="F12" s="8">
        <f>[2]!Plc(H2,4,K2,J2)</f>
        <v>293.09468195176669</v>
      </c>
      <c r="G12" s="6">
        <f t="shared" si="0"/>
        <v>12.212278414656945</v>
      </c>
      <c r="H12" s="8">
        <f t="shared" si="1"/>
        <v>23.094681951766688</v>
      </c>
      <c r="I12" s="7">
        <f t="shared" si="2"/>
        <v>10</v>
      </c>
      <c r="J12" s="6">
        <f t="shared" si="3"/>
        <v>0.9622784146569453</v>
      </c>
    </row>
    <row r="13" spans="1:15" x14ac:dyDescent="0.3">
      <c r="B13" s="5"/>
      <c r="E13" s="9" t="s">
        <v>4</v>
      </c>
      <c r="F13" s="8">
        <f>[2]!Plc(H2,5,K2,J2)</f>
        <v>351.2419637020505</v>
      </c>
      <c r="G13" s="6">
        <f t="shared" si="0"/>
        <v>14.635081820918771</v>
      </c>
      <c r="H13" s="8">
        <f t="shared" si="1"/>
        <v>21.241963702050498</v>
      </c>
      <c r="I13" s="7">
        <f t="shared" si="2"/>
        <v>12</v>
      </c>
      <c r="J13" s="6">
        <f t="shared" si="3"/>
        <v>0.88508182091877075</v>
      </c>
    </row>
    <row r="14" spans="1:15" x14ac:dyDescent="0.3">
      <c r="E14" s="9" t="s">
        <v>3</v>
      </c>
      <c r="F14" s="8">
        <f>[2]!Plc(H2,6,K2,J2)</f>
        <v>245.41467251304039</v>
      </c>
      <c r="G14" s="6">
        <f t="shared" si="0"/>
        <v>10.225611354710017</v>
      </c>
      <c r="H14" s="8">
        <f t="shared" si="1"/>
        <v>5.4146725130403865</v>
      </c>
      <c r="I14" s="7">
        <f t="shared" si="2"/>
        <v>9</v>
      </c>
      <c r="J14" s="6">
        <f t="shared" si="3"/>
        <v>0.22561135471001612</v>
      </c>
    </row>
    <row r="15" spans="1:15" x14ac:dyDescent="0.3">
      <c r="E15" s="9" t="s">
        <v>2</v>
      </c>
      <c r="F15" s="8">
        <f>[2]!Plc(H2,7,K2,J2)</f>
        <v>260.41946206854385</v>
      </c>
      <c r="G15" s="6">
        <f t="shared" si="0"/>
        <v>10.85081091952266</v>
      </c>
      <c r="H15" s="8">
        <f t="shared" si="1"/>
        <v>20.419462068543851</v>
      </c>
      <c r="I15" s="7">
        <f t="shared" si="2"/>
        <v>9</v>
      </c>
      <c r="J15" s="6">
        <f t="shared" si="3"/>
        <v>0.85081091952266041</v>
      </c>
    </row>
    <row r="16" spans="1:15" x14ac:dyDescent="0.3">
      <c r="E16" s="9" t="s">
        <v>1</v>
      </c>
      <c r="F16" s="8">
        <f>[2]!Plc(H2,8,K2,J2)</f>
        <v>274.84910375225354</v>
      </c>
      <c r="G16" s="6">
        <f t="shared" si="0"/>
        <v>11.452045989677231</v>
      </c>
      <c r="H16" s="8">
        <f t="shared" si="1"/>
        <v>4.8491037522535407</v>
      </c>
      <c r="I16" s="7">
        <f t="shared" si="2"/>
        <v>10</v>
      </c>
      <c r="J16" s="6">
        <f t="shared" si="3"/>
        <v>0.20204598967723086</v>
      </c>
    </row>
    <row r="17" spans="2:12" x14ac:dyDescent="0.3">
      <c r="E17" s="9" t="s">
        <v>0</v>
      </c>
      <c r="F17" s="8">
        <f>[2]!Plc(H2,9,K2,J2)</f>
        <v>214.85894221157824</v>
      </c>
      <c r="G17" s="6">
        <f t="shared" si="0"/>
        <v>8.9524559254824272</v>
      </c>
      <c r="H17" s="8">
        <f t="shared" si="1"/>
        <v>4.8589422115782384</v>
      </c>
      <c r="I17" s="7">
        <f t="shared" si="2"/>
        <v>8</v>
      </c>
      <c r="J17" s="6">
        <f t="shared" si="3"/>
        <v>0.20245592548242661</v>
      </c>
    </row>
    <row r="18" spans="2:12" x14ac:dyDescent="0.3">
      <c r="E18" s="4" t="s">
        <v>12</v>
      </c>
      <c r="F18" s="3">
        <f>[2]!Plc(H3,0,K2,J2)</f>
        <v>351.45597742527491</v>
      </c>
      <c r="G18" s="1">
        <f t="shared" si="0"/>
        <v>14.643999059386454</v>
      </c>
      <c r="H18" s="3">
        <f t="shared" si="1"/>
        <v>21.455977425274909</v>
      </c>
      <c r="I18" s="2">
        <f t="shared" si="2"/>
        <v>12</v>
      </c>
      <c r="J18" s="1">
        <f t="shared" si="3"/>
        <v>0.89399905938645452</v>
      </c>
      <c r="L18" s="5"/>
    </row>
    <row r="19" spans="2:12" x14ac:dyDescent="0.3">
      <c r="B19" s="5">
        <f>-F18+F19</f>
        <v>-180</v>
      </c>
      <c r="C19" s="5">
        <f>F19-F6</f>
        <v>-88.000010171188649</v>
      </c>
      <c r="E19" s="4" t="s">
        <v>11</v>
      </c>
      <c r="F19" s="3">
        <f>[2]!Plc(H3,0,K2,J2)-180</f>
        <v>171.45597742527491</v>
      </c>
      <c r="G19" s="1">
        <f t="shared" si="0"/>
        <v>7.1439990593864549</v>
      </c>
      <c r="H19" s="3">
        <f t="shared" si="1"/>
        <v>21.455977425274909</v>
      </c>
      <c r="I19" s="2">
        <f t="shared" si="2"/>
        <v>6</v>
      </c>
      <c r="J19" s="1">
        <f t="shared" si="3"/>
        <v>0.89399905938645452</v>
      </c>
      <c r="L19" s="5"/>
    </row>
    <row r="20" spans="2:12" x14ac:dyDescent="0.3">
      <c r="E20" s="4" t="s">
        <v>10</v>
      </c>
      <c r="F20" s="3">
        <f>[2]!Plc(H3,1,K2,J2)</f>
        <v>11.590946794468172</v>
      </c>
      <c r="G20" s="1">
        <f t="shared" si="0"/>
        <v>0.48295611643617381</v>
      </c>
      <c r="H20" s="3">
        <f t="shared" si="1"/>
        <v>11.590946794468172</v>
      </c>
      <c r="I20" s="2">
        <f t="shared" si="2"/>
        <v>1</v>
      </c>
      <c r="J20" s="1">
        <f t="shared" si="3"/>
        <v>0.48295611643617381</v>
      </c>
      <c r="L20" s="5"/>
    </row>
    <row r="21" spans="2:12" x14ac:dyDescent="0.3">
      <c r="E21" s="4" t="s">
        <v>9</v>
      </c>
      <c r="F21" s="3">
        <f>[2]!Plc(H3,11,K2,J2)</f>
        <v>30.383514314542403</v>
      </c>
      <c r="G21" s="1">
        <f t="shared" si="0"/>
        <v>1.2659797631059335</v>
      </c>
      <c r="H21" s="3">
        <f t="shared" si="1"/>
        <v>0.3835143145424027</v>
      </c>
      <c r="I21" s="2">
        <f t="shared" si="2"/>
        <v>2</v>
      </c>
      <c r="J21" s="1">
        <f t="shared" si="3"/>
        <v>1.5979763105933447E-2</v>
      </c>
      <c r="L21" s="5"/>
    </row>
    <row r="22" spans="2:12" x14ac:dyDescent="0.3">
      <c r="E22" s="4" t="s">
        <v>8</v>
      </c>
      <c r="F22" s="3">
        <f>[2]!Plc(H3,11,K2,J2)+180</f>
        <v>210.3835143145424</v>
      </c>
      <c r="G22" s="1">
        <f t="shared" si="0"/>
        <v>8.7659797631059337</v>
      </c>
      <c r="H22" s="3">
        <f t="shared" si="1"/>
        <v>0.3835143145423956</v>
      </c>
      <c r="I22" s="2">
        <f t="shared" si="2"/>
        <v>8</v>
      </c>
      <c r="J22" s="1">
        <f t="shared" si="3"/>
        <v>1.5979763105933149E-2</v>
      </c>
      <c r="L22" s="5"/>
    </row>
    <row r="23" spans="2:12" x14ac:dyDescent="0.3">
      <c r="E23" s="4" t="s">
        <v>7</v>
      </c>
      <c r="F23" s="3">
        <f>[2]!Plc(H3,2,K2,J2)</f>
        <v>359.62408213787631</v>
      </c>
      <c r="G23" s="1">
        <f t="shared" si="0"/>
        <v>14.984336755744847</v>
      </c>
      <c r="H23" s="3">
        <f t="shared" si="1"/>
        <v>29.624082137876314</v>
      </c>
      <c r="I23" s="2">
        <f t="shared" si="2"/>
        <v>12</v>
      </c>
      <c r="J23" s="1">
        <f t="shared" si="3"/>
        <v>1.2343367557448464</v>
      </c>
      <c r="L23" s="5"/>
    </row>
    <row r="24" spans="2:12" x14ac:dyDescent="0.3">
      <c r="E24" s="4" t="s">
        <v>6</v>
      </c>
      <c r="F24" s="3">
        <f>[2]!Plc(H3,3,K2,J2)</f>
        <v>3.9727386219116392</v>
      </c>
      <c r="G24" s="1">
        <f t="shared" si="0"/>
        <v>0.16553077591298496</v>
      </c>
      <c r="H24" s="3">
        <f t="shared" si="1"/>
        <v>3.9727386219116392</v>
      </c>
      <c r="I24" s="2">
        <f t="shared" si="2"/>
        <v>1</v>
      </c>
      <c r="J24" s="1">
        <f t="shared" si="3"/>
        <v>0.16553077591298496</v>
      </c>
      <c r="L24" s="5"/>
    </row>
    <row r="25" spans="2:12" x14ac:dyDescent="0.3">
      <c r="E25" s="4" t="s">
        <v>5</v>
      </c>
      <c r="F25" s="3">
        <f>[2]!Plc(H3,4,K2,J2)</f>
        <v>261.69368381312285</v>
      </c>
      <c r="G25" s="1">
        <f t="shared" si="0"/>
        <v>10.903903492213452</v>
      </c>
      <c r="H25" s="3">
        <f t="shared" si="1"/>
        <v>21.693683813122846</v>
      </c>
      <c r="I25" s="2">
        <f t="shared" si="2"/>
        <v>9</v>
      </c>
      <c r="J25" s="1">
        <f t="shared" si="3"/>
        <v>0.9039034922134519</v>
      </c>
      <c r="L25" s="5"/>
    </row>
    <row r="26" spans="2:12" x14ac:dyDescent="0.3">
      <c r="E26" s="4" t="s">
        <v>4</v>
      </c>
      <c r="F26" s="3">
        <f>[2]!Plc(H3,5,K2,J2)</f>
        <v>334.69048471983785</v>
      </c>
      <c r="G26" s="1">
        <f t="shared" si="0"/>
        <v>13.945436863326577</v>
      </c>
      <c r="H26" s="3">
        <f t="shared" si="1"/>
        <v>4.6904847198378548</v>
      </c>
      <c r="I26" s="2">
        <f t="shared" si="2"/>
        <v>12</v>
      </c>
      <c r="J26" s="1">
        <f t="shared" si="3"/>
        <v>0.19543686332657728</v>
      </c>
    </row>
    <row r="27" spans="2:12" x14ac:dyDescent="0.3">
      <c r="E27" s="4" t="s">
        <v>3</v>
      </c>
      <c r="F27" s="3">
        <f>[2]!Plc(H3,6,K2,J2)</f>
        <v>249.66207339070212</v>
      </c>
      <c r="G27" s="1">
        <f t="shared" si="0"/>
        <v>10.402586391279256</v>
      </c>
      <c r="H27" s="3">
        <f t="shared" si="1"/>
        <v>9.662073390702119</v>
      </c>
      <c r="I27" s="2">
        <f t="shared" si="2"/>
        <v>9</v>
      </c>
      <c r="J27" s="1">
        <f t="shared" si="3"/>
        <v>0.40258639127925494</v>
      </c>
    </row>
    <row r="28" spans="2:12" x14ac:dyDescent="0.3">
      <c r="E28" s="4" t="s">
        <v>2</v>
      </c>
      <c r="F28" s="3">
        <f>[2]!Plc(H3,7,K2,J2)</f>
        <v>262.27176370320706</v>
      </c>
      <c r="G28" s="1">
        <f t="shared" si="0"/>
        <v>10.927990154300295</v>
      </c>
      <c r="H28" s="3">
        <f t="shared" si="1"/>
        <v>22.271763703207057</v>
      </c>
      <c r="I28" s="2">
        <f t="shared" si="2"/>
        <v>9</v>
      </c>
      <c r="J28" s="1">
        <f t="shared" si="3"/>
        <v>0.92799015430029408</v>
      </c>
    </row>
    <row r="29" spans="2:12" x14ac:dyDescent="0.3">
      <c r="E29" s="4" t="s">
        <v>1</v>
      </c>
      <c r="F29" s="3">
        <f>[2]!Plc(H3,8,K2,J2)</f>
        <v>275.61936614532249</v>
      </c>
      <c r="G29" s="1">
        <f t="shared" si="0"/>
        <v>11.484140256055104</v>
      </c>
      <c r="H29" s="3">
        <f t="shared" si="1"/>
        <v>5.6193661453224877</v>
      </c>
      <c r="I29" s="2">
        <f t="shared" si="2"/>
        <v>10</v>
      </c>
      <c r="J29" s="1">
        <f t="shared" si="3"/>
        <v>0.23414025605510366</v>
      </c>
    </row>
    <row r="30" spans="2:12" x14ac:dyDescent="0.3">
      <c r="E30" s="4" t="s">
        <v>0</v>
      </c>
      <c r="F30" s="3">
        <f>[2]!Plc(H3,9,K2,J2)</f>
        <v>217.07952723383877</v>
      </c>
      <c r="G30" s="1">
        <f t="shared" si="0"/>
        <v>9.0449803014099484</v>
      </c>
      <c r="H30" s="3">
        <f t="shared" si="1"/>
        <v>7.0795272338387747</v>
      </c>
      <c r="I30" s="2">
        <f t="shared" si="2"/>
        <v>8</v>
      </c>
      <c r="J30" s="1">
        <f t="shared" si="3"/>
        <v>0.29498030140994896</v>
      </c>
    </row>
    <row r="32" spans="2:12" x14ac:dyDescent="0.3">
      <c r="E32">
        <f>[2]!swe_julday(C2,B2,A2,15.5,0)</f>
        <v>2446605.1458333335</v>
      </c>
    </row>
    <row r="33" spans="5:5" x14ac:dyDescent="0.3">
      <c r="E33" t="e">
        <f>[2]!swe_calc_ut()</f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 (2)</vt:lpstr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Виталий Белов</dc:creator>
  <cp:lastModifiedBy>Виталий Белов</cp:lastModifiedBy>
  <dcterms:created xsi:type="dcterms:W3CDTF">2015-11-22T00:59:54Z</dcterms:created>
  <dcterms:modified xsi:type="dcterms:W3CDTF">2016-01-12T23:11:14Z</dcterms:modified>
</cp:coreProperties>
</file>